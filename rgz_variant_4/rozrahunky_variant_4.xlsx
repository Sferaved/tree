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іант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Зміна Езп залежно від Псс</a:t>
            </a:r>
          </a:p>
        </rich>
      </tx>
    </title>
    <plotArea>
      <lineChart>
        <grouping val="standard"/>
        <ser>
          <idx val="0"/>
          <order val="0"/>
          <tx>
            <strRef>
              <f>'Варіант 4'!F3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'Варіант 4'!$E$4:$E$17</f>
            </numRef>
          </cat>
          <val>
            <numRef>
              <f>'Варіант 4'!$F$4:$F$17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грн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Зміна Есс залежно від Із</a:t>
            </a:r>
          </a:p>
        </rich>
      </tx>
    </title>
    <plotArea>
      <lineChart>
        <grouping val="standard"/>
        <ser>
          <idx val="0"/>
          <order val="0"/>
          <tx>
            <strRef>
              <f>'Варіант 4'!I3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'Варіант 4'!$H$4:$H$13</f>
            </numRef>
          </cat>
          <val>
            <numRef>
              <f>'Варіант 4'!$I$4:$I$13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грн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Зміна Есс залежно від К</a:t>
            </a:r>
          </a:p>
        </rich>
      </tx>
    </title>
    <plotArea>
      <lineChart>
        <grouping val="standard"/>
        <ser>
          <idx val="0"/>
          <order val="0"/>
          <tx>
            <strRef>
              <f>'Варіант 4'!L3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'Варіант 4'!$K$4:$K$8</f>
            </numRef>
          </cat>
          <val>
            <numRef>
              <f>'Варіант 4'!$L$4:$L$8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грн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20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Розрахунки РГЗ, варіант 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Показник</t>
        </is>
      </c>
      <c r="B3" s="3" t="inlineStr">
        <is>
          <t>Значення</t>
        </is>
      </c>
      <c r="C3" s="3" t="n"/>
      <c r="D3" s="3" t="n"/>
      <c r="E3" s="4" t="inlineStr">
        <is>
          <t>Псс, %</t>
        </is>
      </c>
      <c r="F3" s="4" t="inlineStr">
        <is>
          <t>Езп, грн</t>
        </is>
      </c>
      <c r="G3" s="2" t="n"/>
      <c r="H3" s="4" t="inlineStr">
        <is>
          <t>Із</t>
        </is>
      </c>
      <c r="I3" s="4" t="inlineStr">
        <is>
          <t>Есс, грн</t>
        </is>
      </c>
      <c r="J3" s="2" t="n"/>
      <c r="K3" s="4" t="inlineStr">
        <is>
          <t>К</t>
        </is>
      </c>
      <c r="L3" s="4" t="inlineStr">
        <is>
          <t>Есс, грн</t>
        </is>
      </c>
    </row>
    <row r="4">
      <c r="A4" s="2" t="inlineStr">
        <is>
          <t>ВРЧб</t>
        </is>
      </c>
      <c r="B4" s="2" t="n">
        <v>67</v>
      </c>
      <c r="C4" s="2" t="n"/>
      <c r="D4" s="2" t="n"/>
      <c r="E4" s="2" t="n">
        <v>2.5</v>
      </c>
      <c r="F4" s="2" t="n">
        <v>180992.3366834171</v>
      </c>
      <c r="G4" s="2" t="n"/>
      <c r="H4" s="2" t="n">
        <v>1.5</v>
      </c>
      <c r="I4" s="2" t="n">
        <v>124995.2910447761</v>
      </c>
      <c r="J4" s="2" t="n"/>
      <c r="K4" s="2" t="n">
        <v>0.5</v>
      </c>
      <c r="L4" s="2" t="n">
        <v>124995.2910447761</v>
      </c>
    </row>
    <row r="5">
      <c r="A5" s="2" t="inlineStr">
        <is>
          <t>ВРЧп</t>
        </is>
      </c>
      <c r="B5" s="2" t="n">
        <v>54</v>
      </c>
      <c r="C5" s="2" t="n"/>
      <c r="D5" s="2" t="n"/>
      <c r="E5" s="2" t="n">
        <v>2.6</v>
      </c>
      <c r="F5" s="2" t="n">
        <v>181168.9145728643</v>
      </c>
      <c r="G5" s="2" t="n"/>
      <c r="H5" s="2" t="n">
        <v>1.6</v>
      </c>
      <c r="I5" s="2" t="n">
        <v>133328.3104477612</v>
      </c>
      <c r="J5" s="2" t="n"/>
      <c r="K5" s="2" t="n">
        <v>0.55</v>
      </c>
      <c r="L5" s="2" t="n">
        <v>137494.8201492538</v>
      </c>
    </row>
    <row r="6">
      <c r="A6" s="2" t="inlineStr">
        <is>
          <t>Ф</t>
        </is>
      </c>
      <c r="B6" s="2" t="n">
        <v>253</v>
      </c>
      <c r="C6" s="2" t="n"/>
      <c r="D6" s="2" t="n"/>
      <c r="E6" s="2" t="n">
        <v>2.7</v>
      </c>
      <c r="F6" s="2" t="n">
        <v>181345.4924623116</v>
      </c>
      <c r="G6" s="2" t="n"/>
      <c r="H6" s="2" t="n">
        <v>1.7</v>
      </c>
      <c r="I6" s="2" t="n">
        <v>141661.3298507463</v>
      </c>
      <c r="J6" s="2" t="n"/>
      <c r="K6" s="2" t="n">
        <v>0.6</v>
      </c>
      <c r="L6" s="2" t="n">
        <v>149994.3492537314</v>
      </c>
    </row>
    <row r="7">
      <c r="A7" s="2" t="inlineStr">
        <is>
          <t>Ч</t>
        </is>
      </c>
      <c r="B7" s="2" t="n">
        <v>85</v>
      </c>
      <c r="C7" s="2" t="n"/>
      <c r="D7" s="2" t="n"/>
      <c r="E7" s="2" t="n">
        <v>2.8</v>
      </c>
      <c r="F7" s="2" t="n">
        <v>181522.0703517588</v>
      </c>
      <c r="G7" s="2" t="n"/>
      <c r="H7" s="2" t="n">
        <v>1.8</v>
      </c>
      <c r="I7" s="2" t="n">
        <v>149994.3492537314</v>
      </c>
      <c r="J7" s="2" t="n"/>
      <c r="K7" s="2" t="n">
        <v>0.65</v>
      </c>
      <c r="L7" s="2" t="n">
        <v>162493.878358209</v>
      </c>
    </row>
    <row r="8">
      <c r="A8" s="2" t="inlineStr">
        <is>
          <t>Зс</t>
        </is>
      </c>
      <c r="B8" s="2" t="n">
        <v>31800</v>
      </c>
      <c r="C8" s="2" t="n"/>
      <c r="D8" s="2" t="n"/>
      <c r="E8" s="2" t="n">
        <v>2.9</v>
      </c>
      <c r="F8" s="2" t="n">
        <v>181698.648241206</v>
      </c>
      <c r="G8" s="2" t="n"/>
      <c r="H8" s="2" t="n">
        <v>1.9</v>
      </c>
      <c r="I8" s="2" t="n">
        <v>158327.3686567164</v>
      </c>
      <c r="J8" s="2" t="n"/>
      <c r="K8" s="2" t="n">
        <v>0.7</v>
      </c>
      <c r="L8" s="2" t="n">
        <v>174993.4074626866</v>
      </c>
    </row>
    <row r="9">
      <c r="A9" s="2" t="inlineStr">
        <is>
          <t>Псс</t>
        </is>
      </c>
      <c r="B9" s="2" t="n">
        <v>2.8</v>
      </c>
      <c r="C9" s="2" t="n"/>
      <c r="D9" s="2" t="n"/>
      <c r="E9" s="2" t="n">
        <v>3</v>
      </c>
      <c r="F9" s="2" t="n">
        <v>181875.2261306533</v>
      </c>
      <c r="G9" s="2" t="n"/>
      <c r="H9" s="2" t="n">
        <v>2</v>
      </c>
      <c r="I9" s="2" t="n">
        <v>166660.3880597015</v>
      </c>
      <c r="J9" s="2" t="n"/>
      <c r="K9" s="2" t="n"/>
      <c r="L9" s="2" t="n"/>
    </row>
    <row r="10">
      <c r="A10" s="2" t="inlineStr">
        <is>
          <t>Вб</t>
        </is>
      </c>
      <c r="B10" s="2" t="n">
        <v>8421</v>
      </c>
      <c r="C10" s="2" t="n"/>
      <c r="D10" s="2" t="n"/>
      <c r="E10" s="2" t="n">
        <v>3.1</v>
      </c>
      <c r="F10" s="2" t="n">
        <v>182051.8040201005</v>
      </c>
      <c r="G10" s="2" t="n"/>
      <c r="H10" s="2" t="n">
        <v>2.1</v>
      </c>
      <c r="I10" s="2" t="n">
        <v>174993.4074626866</v>
      </c>
      <c r="J10" s="2" t="n"/>
      <c r="K10" s="2" t="n"/>
      <c r="L10" s="2" t="n"/>
    </row>
    <row r="11">
      <c r="A11" s="2" t="inlineStr">
        <is>
          <t>Пб</t>
        </is>
      </c>
      <c r="B11" s="2" t="n">
        <v>67</v>
      </c>
      <c r="C11" s="2" t="n"/>
      <c r="D11" s="2" t="n"/>
      <c r="E11" s="2" t="n">
        <v>3.2</v>
      </c>
      <c r="F11" s="2" t="n">
        <v>182228.3819095478</v>
      </c>
      <c r="G11" s="2" t="n"/>
      <c r="H11" s="2" t="n">
        <v>2.2</v>
      </c>
      <c r="I11" s="2" t="n">
        <v>183326.4268656716</v>
      </c>
      <c r="J11" s="2" t="n"/>
      <c r="K11" s="2" t="n"/>
      <c r="L11" s="2" t="n"/>
    </row>
    <row r="12">
      <c r="A12" s="2" t="inlineStr">
        <is>
          <t>Із</t>
        </is>
      </c>
      <c r="B12" s="2" t="n">
        <v>1.8</v>
      </c>
      <c r="C12" s="2" t="n"/>
      <c r="D12" s="2" t="n"/>
      <c r="E12" s="2" t="n">
        <v>3.3</v>
      </c>
      <c r="F12" s="2" t="n">
        <v>182404.959798995</v>
      </c>
      <c r="G12" s="2" t="n"/>
      <c r="H12" s="2" t="n">
        <v>2.3</v>
      </c>
      <c r="I12" s="2" t="n">
        <v>191659.4462686567</v>
      </c>
      <c r="J12" s="2" t="n"/>
      <c r="K12" s="2" t="n"/>
      <c r="L12" s="2" t="n"/>
    </row>
    <row r="13">
      <c r="A13" s="2" t="inlineStr">
        <is>
          <t>К</t>
        </is>
      </c>
      <c r="B13" s="2" t="n">
        <v>0.6</v>
      </c>
      <c r="C13" s="2" t="n"/>
      <c r="D13" s="2" t="n"/>
      <c r="E13" s="2" t="n">
        <v>3.4</v>
      </c>
      <c r="F13" s="2" t="n">
        <v>182581.5376884422</v>
      </c>
      <c r="G13" s="2" t="n"/>
      <c r="H13" s="2" t="n">
        <v>2.4</v>
      </c>
      <c r="I13" s="2" t="n">
        <v>199992.4656716418</v>
      </c>
      <c r="J13" s="2" t="n"/>
      <c r="K13" s="2" t="n"/>
      <c r="L13" s="2" t="n"/>
    </row>
    <row r="14">
      <c r="A14" s="4" t="inlineStr">
        <is>
          <t>Результати</t>
        </is>
      </c>
      <c r="B14" s="2" t="n"/>
      <c r="C14" s="2" t="n"/>
      <c r="D14" s="2" t="n"/>
      <c r="E14" s="2" t="n">
        <v>3.5</v>
      </c>
      <c r="F14" s="2" t="n">
        <v>182758.1155778895</v>
      </c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Показник</t>
        </is>
      </c>
      <c r="B15" s="2" t="inlineStr">
        <is>
          <t>Формула</t>
        </is>
      </c>
      <c r="C15" s="2" t="inlineStr">
        <is>
          <t>Значення</t>
        </is>
      </c>
      <c r="D15" s="2" t="n"/>
      <c r="E15" s="2" t="n">
        <v>3.6</v>
      </c>
      <c r="F15" s="2" t="n">
        <v>182934.6934673367</v>
      </c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УВПч</t>
        </is>
      </c>
      <c r="B16" s="2">
        <f>((67-54)/(253-54))*85</f>
        <v/>
      </c>
      <c r="C16" s="2" t="n">
        <v>5.552763819095478</v>
      </c>
      <c r="D16" s="2" t="n"/>
      <c r="E16" s="2" t="n">
        <v>3.7</v>
      </c>
      <c r="F16" s="2" t="n">
        <v>183111.2713567839</v>
      </c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П, %</t>
        </is>
      </c>
      <c r="B17" s="2">
        <f>100*C15/(85-C15)</f>
        <v/>
      </c>
      <c r="C17" s="2" t="n">
        <v>6.989247311827958</v>
      </c>
      <c r="D17" s="2" t="n"/>
      <c r="E17" s="2" t="n">
        <v>3.8</v>
      </c>
      <c r="F17" s="2" t="n">
        <v>183287.8492462312</v>
      </c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Езп, грн</t>
        </is>
      </c>
      <c r="B18" s="2">
        <f>C15*31800*(1+2.8/100)</f>
        <v/>
      </c>
      <c r="C18" s="2" t="n">
        <v>181522.0703517588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Есс, грн</t>
        </is>
      </c>
      <c r="B19" s="2">
        <f>(8421/67)*((67-54)*1.8*0.6*85)</f>
        <v/>
      </c>
      <c r="C19" s="2" t="n">
        <v>149994.3492537314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2026-05-24T17:46:13Z</dcterms:created>
  <dcterms:modified xmlns:dcterms="http://purl.org/dc/terms/" xmlns:xsi="http://www.w3.org/2001/XMLSchema-instance" xsi:type="dcterms:W3CDTF">2026-05-24T17:46:13Z</dcterms:modified>
</cp:coreProperties>
</file>
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аріант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</font>
    <font>
      <name val="Times New Roman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8" customWidth="1" min="3" max="3"/>
  </cols>
  <sheetData>
    <row r="1">
      <c r="A1" s="1" t="inlineStr">
        <is>
          <t>Розрахунки запобіжних клапанів, варіант 4</t>
        </is>
      </c>
    </row>
    <row r="3">
      <c r="A3" s="2" t="inlineStr">
        <is>
          <t>Показник</t>
        </is>
      </c>
      <c r="B3" s="2" t="inlineStr">
        <is>
          <t>Формула / значення</t>
        </is>
      </c>
      <c r="C3" s="2" t="inlineStr">
        <is>
          <t>Результат</t>
        </is>
      </c>
    </row>
    <row r="4">
      <c r="A4" s="3" t="inlineStr">
        <is>
          <t>H</t>
        </is>
      </c>
      <c r="B4" s="3">
        <f>0.40/4.0</f>
        <v/>
      </c>
      <c r="C4" s="3" t="n">
        <v>0.1</v>
      </c>
    </row>
    <row r="5">
      <c r="A5" s="3" t="inlineStr">
        <is>
          <t>Тип клапана</t>
        </is>
      </c>
      <c r="B5" s="3" t="inlineStr">
        <is>
          <t>0,05 &lt;= H &lt;= 0,25</t>
        </is>
      </c>
      <c r="C5" s="3" t="inlineStr">
        <is>
          <t>повнопідйомний</t>
        </is>
      </c>
    </row>
    <row r="6">
      <c r="A6" s="3" t="inlineStr">
        <is>
          <t>n розрах.</t>
        </is>
      </c>
      <c r="B6" s="3">
        <f>1300/(0.015*1640000*4.0*0.40)</f>
        <v/>
      </c>
      <c r="C6" s="3" t="n">
        <v>0.03302845528455284</v>
      </c>
    </row>
    <row r="7">
      <c r="A7" s="3" t="inlineStr">
        <is>
          <t>n прийняте</t>
        </is>
      </c>
      <c r="B7" s="3" t="inlineStr">
        <is>
          <t>Gк &gt; 100 кг/год</t>
        </is>
      </c>
      <c r="C7" s="3" t="n">
        <v>2</v>
      </c>
    </row>
    <row r="8">
      <c r="A8" s="3" t="inlineStr">
        <is>
          <t>p1</t>
        </is>
      </c>
      <c r="B8" s="3">
        <f>1.15*26</f>
        <v/>
      </c>
      <c r="C8" s="3" t="n">
        <v>29.9</v>
      </c>
    </row>
    <row r="9">
      <c r="A9" s="3" t="inlineStr">
        <is>
          <t>p2/p1</t>
        </is>
      </c>
      <c r="B9" s="3">
        <f>2.4/p1</f>
        <v/>
      </c>
      <c r="C9" s="3" t="n">
        <v>0.0802675585284281</v>
      </c>
    </row>
    <row r="10">
      <c r="A10" s="3" t="inlineStr">
        <is>
          <t>B</t>
        </is>
      </c>
      <c r="B10" s="3" t="inlineStr">
        <is>
          <t>таблиця 4, K=1,4, p2/p1≈0,08</t>
        </is>
      </c>
      <c r="C10" s="3" t="n">
        <v>0.505</v>
      </c>
    </row>
    <row r="11">
      <c r="A11" s="3" t="inlineStr">
        <is>
          <t>F потрібна, мм2</t>
        </is>
      </c>
      <c r="B11" s="3">
        <f>21/(0.00159*0.6*0.505*SQRT(14.8*(29.9-2.4)))</f>
        <v/>
      </c>
      <c r="C11" s="3" t="n">
        <v>2160.639628666958</v>
      </c>
    </row>
    <row r="12">
      <c r="A12" s="3" t="inlineStr">
        <is>
          <t>F обрана, мм2</t>
        </is>
      </c>
      <c r="B12" s="3" t="inlineStr">
        <is>
          <t>таблиця 5</t>
        </is>
      </c>
      <c r="C12" s="3" t="n">
        <v>2240</v>
      </c>
    </row>
    <row r="13">
      <c r="A13" s="3" t="inlineStr">
        <is>
          <t>dc, мм</t>
        </is>
      </c>
      <c r="B13" s="3" t="inlineStr">
        <is>
          <t>таблиця 5</t>
        </is>
      </c>
      <c r="C13" s="3" t="n">
        <v>60</v>
      </c>
    </row>
    <row r="14">
      <c r="A14" s="3" t="inlineStr">
        <is>
          <t>d1, мм</t>
        </is>
      </c>
      <c r="B14" s="3" t="inlineStr">
        <is>
          <t>таблиця 5</t>
        </is>
      </c>
      <c r="C14" s="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2026-05-24T20:14:38Z</dcterms:created>
  <dcterms:modified xmlns:dcterms="http://purl.org/dc/terms/" xmlns:xsi="http://www.w3.org/2001/XMLSchema-instance" xsi:type="dcterms:W3CDTF">2026-05-24T20:14:38Z</dcterms:modified>
</cp:coreProperties>
</file>